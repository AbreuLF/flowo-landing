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Registro" sheetId="2" r:id="rId2"/>
    <sheet name="Resum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25.83203125" customWidth="1"/>
  </cols>
  <sheetData>
    <row r="1">
      <c r="A1" t="str">
        <v>PLANILHA DE COMISSÕES POR BARBEIRO</v>
      </c>
    </row>
    <row r="2">
      <c r="A2" t="str">
        <v>Criado por Flowo | flowo.com.br</v>
      </c>
    </row>
    <row r="3">
      <c r="A3" t="str">
        <v/>
      </c>
    </row>
    <row r="4">
      <c r="A4" t="str">
        <v>INSTRUÇÕES:</v>
      </c>
    </row>
    <row r="5">
      <c r="A5" t="str">
        <v>1. Configure o percentual de comissão de cada barbeiro na aba "Config"</v>
      </c>
    </row>
    <row r="6">
      <c r="A6" t="str">
        <v>2. Registre os atendimentos na aba "Registro"</v>
      </c>
    </row>
    <row r="7">
      <c r="A7" t="str">
        <v>3. A comissão é calculada automaticamente</v>
      </c>
    </row>
    <row r="8">
      <c r="A8" t="str">
        <v>4. Use para pagamento semanal, quinzenal ou mensal</v>
      </c>
    </row>
    <row r="9">
      <c r="A9" t="str">
        <v/>
      </c>
    </row>
    <row r="10">
      <c r="A10" t="str">
        <v>═══════════════════════════════════════════════</v>
      </c>
    </row>
    <row r="11">
      <c r="A11" t="str">
        <v>CONFIGURAÇÃO DE COMISSÕES</v>
      </c>
    </row>
    <row r="12">
      <c r="A12" t="str">
        <v>═══════════════════════════════════════════════</v>
      </c>
    </row>
    <row r="13">
      <c r="A13" t="str">
        <v>Barbeiro</v>
      </c>
      <c r="B13" t="str">
        <v>% Comissão</v>
      </c>
      <c r="C13" t="str">
        <v>Fixo Mensal (R$)</v>
      </c>
      <c r="D13" t="str">
        <v>Tipo</v>
      </c>
      <c r="E13" t="str">
        <v>Observações</v>
      </c>
    </row>
    <row r="14">
      <c r="A14" t="str">
        <v>João Silva</v>
      </c>
      <c r="B14" t="str">
        <v>50%</v>
      </c>
      <c r="C14">
        <v>0</v>
      </c>
      <c r="D14" t="str">
        <v>Sócio</v>
      </c>
      <c r="E14" t="str">
        <v>Participa dos lucros</v>
      </c>
    </row>
    <row r="15">
      <c r="A15" t="str">
        <v>Pedro Santos</v>
      </c>
      <c r="B15" t="str">
        <v>45%</v>
      </c>
      <c r="C15">
        <v>0</v>
      </c>
      <c r="D15" t="str">
        <v>CLT</v>
      </c>
      <c r="E15" t="str">
        <v>Funcionário registrado</v>
      </c>
    </row>
    <row r="16">
      <c r="A16" t="str">
        <v>Carlos Lima</v>
      </c>
      <c r="B16" t="str">
        <v>40%</v>
      </c>
      <c r="C16">
        <v>0</v>
      </c>
      <c r="D16" t="str">
        <v>Freelancer</v>
      </c>
      <c r="E16" t="str">
        <v>Trabalha 3x por semana</v>
      </c>
    </row>
    <row r="17">
      <c r="A17" t="str">
        <v/>
      </c>
      <c r="B17" t="str">
        <v/>
      </c>
      <c r="C17">
        <v>0</v>
      </c>
      <c r="D17" t="str">
        <v/>
      </c>
      <c r="E17" t="str">
        <v/>
      </c>
    </row>
    <row r="18">
      <c r="A18" t="str">
        <v/>
      </c>
    </row>
    <row r="19">
      <c r="A19" t="str">
        <v>═══════════════════════════════════════════════</v>
      </c>
    </row>
    <row r="20">
      <c r="A20" t="str">
        <v>TABELA DE SERVIÇOS</v>
      </c>
    </row>
    <row r="21">
      <c r="A21" t="str">
        <v>═══════════════════════════════════════════════</v>
      </c>
    </row>
    <row r="22">
      <c r="A22" t="str">
        <v>Código</v>
      </c>
      <c r="B22" t="str">
        <v>Serviço</v>
      </c>
      <c r="C22" t="str">
        <v>Preço (R$)</v>
      </c>
    </row>
    <row r="23">
      <c r="A23" t="str">
        <v>S01</v>
      </c>
      <c r="B23" t="str">
        <v>Corte Masculino</v>
      </c>
      <c r="C23">
        <v>45</v>
      </c>
    </row>
    <row r="24">
      <c r="A24" t="str">
        <v>S02</v>
      </c>
      <c r="B24" t="str">
        <v>Corte + Barba</v>
      </c>
      <c r="C24">
        <v>65</v>
      </c>
    </row>
    <row r="25">
      <c r="A25" t="str">
        <v>S03</v>
      </c>
      <c r="B25" t="str">
        <v>Barba</v>
      </c>
      <c r="C25">
        <v>30</v>
      </c>
    </row>
    <row r="26">
      <c r="A26" t="str">
        <v>S04</v>
      </c>
      <c r="B26" t="str">
        <v>Corte Infantil</v>
      </c>
      <c r="C26">
        <v>35</v>
      </c>
    </row>
    <row r="27">
      <c r="A27" t="str">
        <v>S05</v>
      </c>
      <c r="B27" t="str">
        <v>Sobrancelha</v>
      </c>
      <c r="C27">
        <v>15</v>
      </c>
    </row>
    <row r="28">
      <c r="A28" t="str">
        <v>S06</v>
      </c>
      <c r="B28" t="str">
        <v>Progressiva</v>
      </c>
      <c r="C28">
        <v>150</v>
      </c>
    </row>
    <row r="29">
      <c r="A29" t="str">
        <v>S07</v>
      </c>
      <c r="B29" t="str">
        <v>Coloração</v>
      </c>
      <c r="C29">
        <v>80</v>
      </c>
    </row>
    <row r="30">
      <c r="A30" t="str">
        <v>S08</v>
      </c>
      <c r="B30" t="str">
        <v>Hidratação</v>
      </c>
      <c r="C30">
        <v>40</v>
      </c>
    </row>
    <row r="31">
      <c r="A31" t="str">
        <v>S09</v>
      </c>
      <c r="B31" t="str">
        <v>Combo Completo</v>
      </c>
      <c r="C31">
        <v>90</v>
      </c>
    </row>
  </sheetData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cols>
    <col min="1" max="1" width="12.83203125" customWidth="1"/>
    <col min="2" max="2" width="18.83203125" customWidth="1"/>
    <col min="3" max="3" width="18.83203125" customWidth="1"/>
    <col min="4" max="4" width="12.83203125" customWidth="1"/>
    <col min="5" max="5" width="12.83203125" customWidth="1"/>
    <col min="6" max="6" width="14.83203125" customWidth="1"/>
  </cols>
  <sheetData>
    <row r="1">
      <c r="A1" t="str">
        <v>REGISTRO DE ATENDIMENTOS</v>
      </c>
    </row>
    <row r="2">
      <c r="A2" t="str">
        <v>Mês/Período:</v>
      </c>
      <c r="B2" t="str">
        <v>Janeiro/2025</v>
      </c>
    </row>
    <row r="3">
      <c r="A3" t="str">
        <v/>
      </c>
    </row>
    <row r="4">
      <c r="A4" t="str">
        <v>═══════════════════════════════════════════════════════════════════════════════</v>
      </c>
    </row>
    <row r="5">
      <c r="A5" t="str">
        <v>Data</v>
      </c>
      <c r="B5" t="str">
        <v>Barbeiro</v>
      </c>
      <c r="C5" t="str">
        <v>Serviço</v>
      </c>
      <c r="D5" t="str">
        <v>Valor (R$)</v>
      </c>
      <c r="E5" t="str">
        <v>% Comissão</v>
      </c>
      <c r="F5" t="str">
        <v>Comissão (R$)</v>
      </c>
    </row>
    <row r="6">
      <c r="A6" t="str">
        <v>01/01/2025</v>
      </c>
      <c r="B6" t="str">
        <v>João Silva</v>
      </c>
      <c r="C6" t="str">
        <v>Corte Masculino</v>
      </c>
      <c r="D6">
        <v>45</v>
      </c>
      <c r="E6" t="str">
        <v>50%</v>
      </c>
      <c r="F6">
        <f>D6*0.5</f>
      </c>
    </row>
    <row r="7">
      <c r="A7" t="str">
        <v>01/01/2025</v>
      </c>
      <c r="B7" t="str">
        <v>João Silva</v>
      </c>
      <c r="C7" t="str">
        <v>Corte + Barba</v>
      </c>
      <c r="D7">
        <v>65</v>
      </c>
      <c r="E7" t="str">
        <v>50%</v>
      </c>
      <c r="F7">
        <f>D7*0.5</f>
      </c>
    </row>
    <row r="8">
      <c r="A8" t="str">
        <v>01/01/2025</v>
      </c>
      <c r="B8" t="str">
        <v>Pedro Santos</v>
      </c>
      <c r="C8" t="str">
        <v>Corte Masculino</v>
      </c>
      <c r="D8">
        <v>45</v>
      </c>
      <c r="E8" t="str">
        <v>45%</v>
      </c>
      <c r="F8">
        <f>D8*0.45</f>
      </c>
    </row>
    <row r="9">
      <c r="A9" t="str">
        <v>01/01/2025</v>
      </c>
      <c r="B9" t="str">
        <v>Carlos Lima</v>
      </c>
      <c r="C9" t="str">
        <v>Barba</v>
      </c>
      <c r="D9">
        <v>30</v>
      </c>
      <c r="E9" t="str">
        <v>40%</v>
      </c>
      <c r="F9">
        <f>D9*0.4</f>
      </c>
    </row>
    <row r="10">
      <c r="A10" t="str">
        <v>02/01/2025</v>
      </c>
      <c r="B10" t="str">
        <v>João Silva</v>
      </c>
      <c r="C10" t="str">
        <v>Combo Completo</v>
      </c>
      <c r="D10">
        <v>90</v>
      </c>
      <c r="E10" t="str">
        <v>50%</v>
      </c>
      <c r="F10">
        <f>D10*0.5</f>
      </c>
    </row>
    <row r="11">
      <c r="A11" t="str">
        <v>02/01/2025</v>
      </c>
      <c r="B11" t="str">
        <v>Pedro Santos</v>
      </c>
      <c r="C11" t="str">
        <v>Progressiva</v>
      </c>
      <c r="D11">
        <v>150</v>
      </c>
      <c r="E11" t="str">
        <v>45%</v>
      </c>
      <c r="F11">
        <f>D11*0.45</f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═══════════════════════════════════════════════════════════════════════════════</v>
      </c>
    </row>
    <row r="22">
      <c r="A22" t="str">
        <v>TOTAIS DO PERÍODO</v>
      </c>
      <c r="B22" t="str">
        <v/>
      </c>
      <c r="C22" t="str">
        <v/>
      </c>
      <c r="D22">
        <f>SUM(D6:D20)</f>
      </c>
      <c r="E22" t="str">
        <v/>
      </c>
      <c r="F22">
        <f>SUM(F6:F20)</f>
      </c>
    </row>
    <row r="23">
      <c r="A23" t="str">
        <v/>
      </c>
    </row>
    <row r="24">
      <c r="A24" t="str">
        <v>DICA: Com o Flowo, esse controle é automático! Cada atendimento</v>
      </c>
    </row>
    <row r="25">
      <c r="A25" t="str">
        <v>registrado já calcula a comissão do profissional. Teste grátis em flowo.com.br</v>
      </c>
    </row>
  </sheetData>
  <ignoredErrors>
    <ignoredError numberStoredAsText="1" sqref="A1:F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0.83203125" customWidth="1"/>
    <col min="2" max="2" width="18.83203125" customWidth="1"/>
    <col min="3" max="3" width="16.83203125" customWidth="1"/>
    <col min="4" max="4" width="15.83203125" customWidth="1"/>
    <col min="5" max="5" width="12.83203125" customWidth="1"/>
    <col min="6" max="6" width="18.83203125" customWidth="1"/>
  </cols>
  <sheetData>
    <row r="1">
      <c r="A1" t="str">
        <v>RESUMO MENSAL POR BARBEIRO</v>
      </c>
    </row>
    <row r="2">
      <c r="A2" t="str">
        <v>Período:</v>
      </c>
      <c r="B2" t="str">
        <v>Janeiro/2025</v>
      </c>
    </row>
    <row r="3">
      <c r="A3" t="str">
        <v/>
      </c>
    </row>
    <row r="4">
      <c r="A4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5">
      <c r="A5" t="str">
        <v>Barbeiro</v>
      </c>
      <c r="B5" t="str">
        <v>Total Atendimentos</v>
      </c>
      <c r="C5" t="str">
        <v>Faturamento (R$)</v>
      </c>
      <c r="D5" t="str">
        <v>Comissão (R$)</v>
      </c>
      <c r="E5" t="str">
        <v>Fixo (R$)</v>
      </c>
      <c r="F5" t="str">
        <v>Total a Pagar (R$)</v>
      </c>
    </row>
    <row r="6">
      <c r="A6" t="str">
        <v>João Silva</v>
      </c>
      <c r="B6">
        <v>3</v>
      </c>
      <c r="C6">
        <f>45+65+90</f>
      </c>
      <c r="D6">
        <f>C6*0.5</f>
      </c>
      <c r="E6">
        <v>0</v>
      </c>
      <c r="F6">
        <f>D6+E6</f>
      </c>
    </row>
    <row r="7">
      <c r="A7" t="str">
        <v>Pedro Santos</v>
      </c>
      <c r="B7">
        <v>2</v>
      </c>
      <c r="C7">
        <f>45+150</f>
      </c>
      <c r="D7">
        <f>C7*0.45</f>
      </c>
      <c r="E7">
        <v>0</v>
      </c>
      <c r="F7">
        <f>D7+E7</f>
      </c>
    </row>
    <row r="8">
      <c r="A8" t="str">
        <v>Carlos Lima</v>
      </c>
      <c r="B8">
        <v>1</v>
      </c>
      <c r="C8">
        <v>30</v>
      </c>
      <c r="D8">
        <f>C8*0.4</f>
      </c>
      <c r="E8">
        <v>0</v>
      </c>
      <c r="F8">
        <f>D8+E8</f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1">
      <c r="A11" t="str">
        <v>TOTAL GERAL</v>
      </c>
      <c r="B11">
        <f>SUM(B6:B9)</f>
      </c>
      <c r="C11">
        <f>SUM(C6:C9)</f>
      </c>
      <c r="D11">
        <f>SUM(D6:D9)</f>
      </c>
      <c r="E11">
        <f>SUM(E6:E9)</f>
      </c>
      <c r="F11">
        <f>SUM(F6:F9)</f>
      </c>
    </row>
    <row r="12">
      <c r="A12" t="str">
        <v/>
      </c>
    </row>
    <row r="13">
      <c r="A13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4">
      <c r="A14" t="str">
        <v>INDICADORES DE DESEMPENHO</v>
      </c>
    </row>
    <row r="15">
      <c r="A15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16">
      <c r="A16" t="str">
        <v>Barbeiro</v>
      </c>
      <c r="B16" t="str">
        <v>Ticket Médio (R$)</v>
      </c>
      <c r="C16" t="str">
        <v>Atend/Dia*</v>
      </c>
      <c r="D16" t="str">
        <v>Ranking</v>
      </c>
    </row>
    <row r="17">
      <c r="A17" t="str">
        <v>João Silva</v>
      </c>
      <c r="B17">
        <f>C6/B6</f>
      </c>
      <c r="C17">
        <f>B6/22</f>
      </c>
      <c r="D17" t="str">
        <v>1º</v>
      </c>
    </row>
    <row r="18">
      <c r="A18" t="str">
        <v>Pedro Santos</v>
      </c>
      <c r="B18">
        <f>C7/B7</f>
      </c>
      <c r="C18">
        <f>B7/22</f>
      </c>
      <c r="D18" t="str">
        <v>2º</v>
      </c>
    </row>
    <row r="19">
      <c r="A19" t="str">
        <v>Carlos Lima</v>
      </c>
      <c r="B19">
        <f>C8/B8</f>
      </c>
      <c r="C19">
        <f>B8/22</f>
      </c>
      <c r="D19" t="str">
        <v>3º</v>
      </c>
    </row>
    <row r="20">
      <c r="A20" t="str">
        <v>*Considerando 22 dias trabalhados no mês</v>
      </c>
    </row>
    <row r="21">
      <c r="A21" t="str">
        <v/>
      </c>
    </row>
    <row r="22">
      <c r="A22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3">
      <c r="A23" t="str">
        <v>DICAS PARA GESTÃO DE COMISSÕES</v>
      </c>
    </row>
    <row r="24">
      <c r="A24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25">
      <c r="A25" t="str">
        <v>1. Pague sempre no mesmo dia (previsibilidade)</v>
      </c>
    </row>
    <row r="26">
      <c r="A26" t="str">
        <v>2. Mostre os números para o barbeiro - transparência gera confiança</v>
      </c>
    </row>
    <row r="27">
      <c r="A27" t="str">
        <v>3. Comissão entre 40-50% é o padrão do mercado</v>
      </c>
    </row>
    <row r="28">
      <c r="A28" t="str">
        <v>4. Considere bônus por meta atingida (ex: +5% se bater X atendimentos)</v>
      </c>
    </row>
    <row r="29">
      <c r="A29" t="str">
        <v>5. Barbeiros CLT: comissão pode ser menor pois têm benefícios</v>
      </c>
    </row>
    <row r="30">
      <c r="A30" t="str">
        <v>6. Freelancers: comissão maior pois arcam com próprios custos</v>
      </c>
    </row>
    <row r="31">
      <c r="A31" t="str">
        <v/>
      </c>
    </row>
    <row r="32">
      <c r="A32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33">
      <c r="A33" t="str">
        <v>METAS DO MÊS</v>
      </c>
    </row>
    <row r="34">
      <c r="A34" t="str">
        <v>═══════════════════════════════════════════════════════════════════════════════════════════</v>
      </c>
    </row>
    <row r="35">
      <c r="A35" t="str">
        <v>Barbeiro</v>
      </c>
      <c r="B35" t="str">
        <v>Meta Faturamento</v>
      </c>
      <c r="C35" t="str">
        <v>Meta Atendimentos</v>
      </c>
      <c r="D35" t="str">
        <v>Bônus se Bater</v>
      </c>
    </row>
    <row r="36">
      <c r="A36" t="str">
        <v>João Silva</v>
      </c>
      <c r="B36">
        <v>5000</v>
      </c>
      <c r="C36">
        <v>100</v>
      </c>
      <c r="D36" t="str">
        <v>R$ 200</v>
      </c>
    </row>
    <row r="37">
      <c r="A37" t="str">
        <v>Pedro Santos</v>
      </c>
      <c r="B37">
        <v>4000</v>
      </c>
      <c r="C37">
        <v>80</v>
      </c>
      <c r="D37" t="str">
        <v>R$ 150</v>
      </c>
    </row>
    <row r="38">
      <c r="A38" t="str">
        <v>Carlos Lima</v>
      </c>
      <c r="B38">
        <v>3000</v>
      </c>
      <c r="C38">
        <v>60</v>
      </c>
      <c r="D38" t="str">
        <v>R$ 100</v>
      </c>
    </row>
    <row r="39">
      <c r="A39" t="str">
        <v/>
      </c>
    </row>
    <row r="40">
      <c r="A40" t="str">
        <v>Desenvolvido por Flowo - Sistema de agendamento para barbearias</v>
      </c>
    </row>
    <row r="41">
      <c r="A41" t="str">
        <v>Automatize o controle de comissões em: flowo.com.br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Registro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