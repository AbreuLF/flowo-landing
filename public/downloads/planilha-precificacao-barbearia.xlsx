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s" sheetId="1" r:id="rId1"/>
    <sheet name="Precificação" sheetId="2" r:id="rId2"/>
    <sheet name="Anális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35.83203125" customWidth="1"/>
    <col min="2" max="2" width="15.83203125" customWidth="1"/>
    <col min="3" max="3" width="40.83203125" customWidth="1"/>
  </cols>
  <sheetData>
    <row r="1">
      <c r="A1" t="str">
        <v>PLANILHA DE PRECIFICAÇÃO DE SERVIÇOS - BARBEARIA</v>
      </c>
    </row>
    <row r="2">
      <c r="A2" t="str">
        <v>Criado por Flowo | flowo.com.br</v>
      </c>
    </row>
    <row r="3">
      <c r="A3" t="str">
        <v/>
      </c>
    </row>
    <row r="4">
      <c r="A4" t="str">
        <v>INSTRUÇÕES:</v>
      </c>
    </row>
    <row r="5">
      <c r="A5" t="str">
        <v>1. Preencha os custos fixos mensais na coluna B</v>
      </c>
    </row>
    <row r="6">
      <c r="A6" t="str">
        <v>2. Estime quantos atendimentos você faz por mês</v>
      </c>
    </row>
    <row r="7">
      <c r="A7" t="str">
        <v>3. A planilha calcula automaticamente o custo por atendimento</v>
      </c>
    </row>
    <row r="8">
      <c r="A8" t="str">
        <v>4. Use a aba "Precificação" para definir seus preços</v>
      </c>
    </row>
    <row r="9">
      <c r="A9" t="str">
        <v/>
      </c>
    </row>
    <row r="10">
      <c r="A10" t="str">
        <v>═══════════════════════════════════════════════</v>
      </c>
    </row>
    <row r="11">
      <c r="A11" t="str">
        <v>CUSTOS FIXOS MENSAIS</v>
      </c>
    </row>
    <row r="12">
      <c r="A12" t="str">
        <v>═══════════════════════════════════════════════</v>
      </c>
    </row>
    <row r="13">
      <c r="A13" t="str">
        <v>Item</v>
      </c>
      <c r="B13" t="str">
        <v>Valor (R$)</v>
      </c>
      <c r="C13" t="str">
        <v>Observações</v>
      </c>
    </row>
    <row r="14">
      <c r="A14" t="str">
        <v>Aluguel</v>
      </c>
      <c r="B14">
        <v>2500</v>
      </c>
      <c r="C14" t="str">
        <v>Inclui condomínio se aplicável</v>
      </c>
    </row>
    <row r="15">
      <c r="A15" t="str">
        <v>Energia elétrica</v>
      </c>
      <c r="B15">
        <v>350</v>
      </c>
      <c r="C15" t="str">
        <v>Média mensal</v>
      </c>
    </row>
    <row r="16">
      <c r="A16" t="str">
        <v>Água</v>
      </c>
      <c r="B16">
        <v>80</v>
      </c>
      <c r="C16" t="str">
        <v>Média mensal</v>
      </c>
    </row>
    <row r="17">
      <c r="A17" t="str">
        <v>Internet</v>
      </c>
      <c r="B17">
        <v>150</v>
      </c>
      <c r="C17" t="str">
        <v/>
      </c>
    </row>
    <row r="18">
      <c r="A18" t="str">
        <v>Produtos (shampoo, cera, etc)</v>
      </c>
      <c r="B18">
        <v>400</v>
      </c>
      <c r="C18" t="str">
        <v>Média mensal de consumo</v>
      </c>
    </row>
    <row r="19">
      <c r="A19" t="str">
        <v>Manutenção equipamentos</v>
      </c>
      <c r="B19">
        <v>200</v>
      </c>
      <c r="C19" t="str">
        <v>Reserva mensal</v>
      </c>
    </row>
    <row r="20">
      <c r="A20" t="str">
        <v>Marketing/Divulgação</v>
      </c>
      <c r="B20">
        <v>300</v>
      </c>
      <c r="C20" t="str">
        <v>Ads, materiais impressos</v>
      </c>
    </row>
    <row r="21">
      <c r="A21" t="str">
        <v>Software/Sistemas (Flowo Equipe)</v>
      </c>
      <c r="B21">
        <v>197</v>
      </c>
      <c r="C21" t="str">
        <v>Agendamento + WhatsApp IA + Lembretes</v>
      </c>
    </row>
    <row r="22">
      <c r="A22" t="str">
        <v>Contador</v>
      </c>
      <c r="B22">
        <v>200</v>
      </c>
      <c r="C22" t="str">
        <v/>
      </c>
    </row>
    <row r="23">
      <c r="A23" t="str">
        <v>Outros custos fixos</v>
      </c>
      <c r="B23">
        <v>0</v>
      </c>
      <c r="C23" t="str">
        <v/>
      </c>
    </row>
    <row r="24">
      <c r="A24" t="str">
        <v/>
      </c>
    </row>
    <row r="25">
      <c r="A25" t="str">
        <v>TOTAL CUSTOS FIXOS</v>
      </c>
      <c r="B25">
        <f>SUM(B14:B23)</f>
      </c>
      <c r="C25" t="str">
        <v>← Soma automática</v>
      </c>
    </row>
    <row r="26">
      <c r="A26" t="str">
        <v/>
      </c>
    </row>
    <row r="27">
      <c r="A27" t="str">
        <v>═══════════════════════════════════════════════</v>
      </c>
    </row>
    <row r="28">
      <c r="A28" t="str">
        <v>ESTIMATIVA DE ATENDIMENTOS</v>
      </c>
    </row>
    <row r="29">
      <c r="A29" t="str">
        <v>═══════════════════════════════════════════════</v>
      </c>
    </row>
    <row r="30">
      <c r="A30" t="str">
        <v>Descrição</v>
      </c>
      <c r="B30" t="str">
        <v>Quantidade</v>
      </c>
      <c r="C30" t="str">
        <v>Observações</v>
      </c>
    </row>
    <row r="31">
      <c r="A31" t="str">
        <v>Dias trabalhados por mês</v>
      </c>
      <c r="B31">
        <v>22</v>
      </c>
      <c r="C31" t="str">
        <v>Segunda a Sábado</v>
      </c>
    </row>
    <row r="32">
      <c r="A32" t="str">
        <v>Atendimentos por dia (média)</v>
      </c>
      <c r="B32">
        <v>8</v>
      </c>
      <c r="C32" t="str">
        <v>Por barbeiro</v>
      </c>
    </row>
    <row r="33">
      <c r="A33" t="str">
        <v>Número de barbeiros</v>
      </c>
      <c r="B33">
        <v>2</v>
      </c>
      <c r="C33" t="str">
        <v/>
      </c>
    </row>
    <row r="34">
      <c r="A34" t="str">
        <v/>
      </c>
    </row>
    <row r="35">
      <c r="A35" t="str">
        <v>TOTAL ATENDIMENTOS/MÊS</v>
      </c>
      <c r="B35">
        <f>B31*B32*B33</f>
      </c>
      <c r="C35" t="str">
        <v>← Cálculo automático</v>
      </c>
    </row>
    <row r="36">
      <c r="A36" t="str">
        <v/>
      </c>
    </row>
    <row r="37">
      <c r="A37" t="str">
        <v>═══════════════════════════════════════════════</v>
      </c>
    </row>
    <row r="38">
      <c r="A38" t="str">
        <v>CUSTO POR ATENDIMENTO</v>
      </c>
    </row>
    <row r="39">
      <c r="A39" t="str">
        <v>═══════════════════════════════════════════════</v>
      </c>
    </row>
    <row r="40">
      <c r="A40" t="str">
        <v>Custo fixo por atendimento</v>
      </c>
      <c r="B40">
        <f>B25/B35</f>
      </c>
      <c r="C40" t="str">
        <v>← Total custos ÷ atendimentos</v>
      </c>
    </row>
    <row r="41">
      <c r="A41" t="str">
        <v>Custo variável por serviço</v>
      </c>
      <c r="B41">
        <v>5</v>
      </c>
      <c r="C41" t="str">
        <v>Produtos usados no corte</v>
      </c>
    </row>
    <row r="42">
      <c r="A42" t="str">
        <v/>
      </c>
    </row>
    <row r="43">
      <c r="A43" t="str">
        <v>CUSTO TOTAL POR ATENDIMENTO</v>
      </c>
      <c r="B43">
        <f>B40+B41</f>
      </c>
      <c r="C43" t="str">
        <v>← Base para precificação</v>
      </c>
    </row>
  </sheetData>
  <ignoredErrors>
    <ignoredError numberStoredAsText="1" sqref="A1:C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0.83203125" customWidth="1"/>
    <col min="5" max="5" width="15.83203125" customWidth="1"/>
    <col min="6" max="6" width="18.83203125" customWidth="1"/>
    <col min="7" max="7" width="12.83203125" customWidth="1"/>
  </cols>
  <sheetData>
    <row r="1">
      <c r="A1" t="str">
        <v>PRECIFICAÇÃO DOS SERVIÇOS</v>
      </c>
    </row>
    <row r="2">
      <c r="A2" t="str">
        <v/>
      </c>
    </row>
    <row r="3">
      <c r="A3" t="str">
        <v>Custo base por atendimento:</v>
      </c>
      <c r="B3">
        <f>Custos!B43</f>
      </c>
      <c r="C3" t="str">
        <v>← Vem da aba Custos</v>
      </c>
    </row>
    <row r="4">
      <c r="A4" t="str">
        <v/>
      </c>
    </row>
    <row r="5">
      <c r="A5" t="str">
        <v>═══════════════════════════════════════════════════════════════════</v>
      </c>
    </row>
    <row r="6">
      <c r="A6" t="str">
        <v>TABELA DE PREÇOS</v>
      </c>
    </row>
    <row r="7">
      <c r="A7" t="str">
        <v>═══════════════════════════════════════════════════════════════════</v>
      </c>
    </row>
    <row r="8">
      <c r="A8" t="str">
        <v>Serviço</v>
      </c>
      <c r="B8" t="str">
        <v>Tempo (min)</v>
      </c>
      <c r="C8" t="str">
        <v>Custo Base</v>
      </c>
      <c r="D8" t="str">
        <v>Margem %</v>
      </c>
      <c r="E8" t="str">
        <v>Preço Sugerido</v>
      </c>
      <c r="F8" t="str">
        <v>Preço Concorrência</v>
      </c>
      <c r="G8" t="str">
        <v>Preço Final</v>
      </c>
    </row>
    <row r="9">
      <c r="A9" t="str">
        <v>Corte Masculino</v>
      </c>
      <c r="B9">
        <v>30</v>
      </c>
      <c r="C9">
        <f>$B$3</f>
      </c>
      <c r="D9" t="str">
        <v>50%</v>
      </c>
      <c r="E9">
        <f>C9/(1-0.5)</f>
      </c>
      <c r="F9">
        <v>45</v>
      </c>
      <c r="G9">
        <v>45</v>
      </c>
    </row>
    <row r="10">
      <c r="A10" t="str">
        <v>Corte + Barba</v>
      </c>
      <c r="B10">
        <v>50</v>
      </c>
      <c r="C10">
        <f>$B$3*1.5</f>
      </c>
      <c r="D10" t="str">
        <v>50%</v>
      </c>
      <c r="E10">
        <f>C10/(1-0.5)</f>
      </c>
      <c r="F10">
        <v>65</v>
      </c>
      <c r="G10">
        <v>65</v>
      </c>
    </row>
    <row r="11">
      <c r="A11" t="str">
        <v>Barba</v>
      </c>
      <c r="B11">
        <v>25</v>
      </c>
      <c r="C11">
        <f>$B$3*0.8</f>
      </c>
      <c r="D11" t="str">
        <v>60%</v>
      </c>
      <c r="E11">
        <f>C11/(1-0.6)</f>
      </c>
      <c r="F11">
        <v>30</v>
      </c>
      <c r="G11">
        <v>30</v>
      </c>
    </row>
    <row r="12">
      <c r="A12" t="str">
        <v>Corte Infantil</v>
      </c>
      <c r="B12">
        <v>25</v>
      </c>
      <c r="C12">
        <f>$B$3*0.8</f>
      </c>
      <c r="D12" t="str">
        <v>40%</v>
      </c>
      <c r="E12">
        <f>C12/(1-0.4)</f>
      </c>
      <c r="F12">
        <v>35</v>
      </c>
      <c r="G12">
        <v>35</v>
      </c>
    </row>
    <row r="13">
      <c r="A13" t="str">
        <v>Corte + Sobrancelha</v>
      </c>
      <c r="B13">
        <v>35</v>
      </c>
      <c r="C13">
        <f>$B$3*1.1</f>
      </c>
      <c r="D13" t="str">
        <v>50%</v>
      </c>
      <c r="E13">
        <f>C13/(1-0.5)</f>
      </c>
      <c r="F13">
        <v>50</v>
      </c>
      <c r="G13">
        <v>50</v>
      </c>
    </row>
    <row r="14">
      <c r="A14" t="str">
        <v>Sobrancelha</v>
      </c>
      <c r="B14">
        <v>10</v>
      </c>
      <c r="C14">
        <f>$B$3*0.4</f>
      </c>
      <c r="D14" t="str">
        <v>50%</v>
      </c>
      <c r="E14">
        <f>C14/(1-0.5)</f>
      </c>
      <c r="F14">
        <v>15</v>
      </c>
      <c r="G14">
        <v>15</v>
      </c>
    </row>
    <row r="15">
      <c r="A15" t="str">
        <v>Progressiva</v>
      </c>
      <c r="B15">
        <v>90</v>
      </c>
      <c r="C15">
        <f>$B$3*3</f>
      </c>
      <c r="D15" t="str">
        <v>70%</v>
      </c>
      <c r="E15">
        <f>C15/(1-0.7)</f>
      </c>
      <c r="F15">
        <v>150</v>
      </c>
      <c r="G15">
        <v>150</v>
      </c>
    </row>
    <row r="16">
      <c r="A16" t="str">
        <v>Coloração</v>
      </c>
      <c r="B16">
        <v>60</v>
      </c>
      <c r="C16">
        <f>$B$3*2</f>
      </c>
      <c r="D16" t="str">
        <v>80%</v>
      </c>
      <c r="E16">
        <f>C16/(1-0.8)</f>
      </c>
      <c r="F16">
        <v>80</v>
      </c>
      <c r="G16">
        <v>80</v>
      </c>
    </row>
    <row r="17">
      <c r="A17" t="str">
        <v>Hidratação</v>
      </c>
      <c r="B17">
        <v>40</v>
      </c>
      <c r="C17">
        <f>$B$3*1.3</f>
      </c>
      <c r="D17" t="str">
        <v>60%</v>
      </c>
      <c r="E17">
        <f>C17/(1-0.6)</f>
      </c>
      <c r="F17">
        <v>40</v>
      </c>
      <c r="G17">
        <v>40</v>
      </c>
    </row>
    <row r="18">
      <c r="A18" t="str">
        <v>Combo Completo</v>
      </c>
      <c r="B18">
        <v>70</v>
      </c>
      <c r="C18">
        <f>$B$3*2.2</f>
      </c>
      <c r="D18" t="str">
        <v>45%</v>
      </c>
      <c r="E18">
        <f>C18/(1-0.45)</f>
      </c>
      <c r="F18">
        <v>90</v>
      </c>
      <c r="G18">
        <v>90</v>
      </c>
    </row>
    <row r="19">
      <c r="A19" t="str">
        <v/>
      </c>
    </row>
    <row r="20">
      <c r="A20" t="str">
        <v>═══════════════════════════════════════════════════════════════════</v>
      </c>
    </row>
    <row r="21">
      <c r="A21" t="str">
        <v>DICAS DE PRECIFICAÇÃO</v>
      </c>
    </row>
    <row r="22">
      <c r="A22" t="str">
        <v>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1. Nunca precifique abaixo do custo - isso é prejuízo garantido</v>
      </c>
    </row>
    <row r="24">
      <c r="A24" t="str">
        <v>2. Margem mínima recomendada: 40% para serviços básicos</v>
      </c>
    </row>
    <row r="25">
      <c r="A25" t="str">
        <v>3. Serviços especializados (progressiva/coloração) podem ter margem de 70-100%</v>
      </c>
    </row>
    <row r="26">
      <c r="A26" t="str">
        <v>4. Pesquise 3-5 concorrentes próximos antes de definir preços</v>
      </c>
    </row>
    <row r="27">
      <c r="A27" t="str">
        <v>5. Revise seus preços a cada 6 meses considerando inflação</v>
      </c>
    </row>
    <row r="28">
      <c r="A28" t="str">
        <v>6. Crie combos com desconto para aumentar ticket médio</v>
      </c>
    </row>
    <row r="29">
      <c r="A29" t="str">
        <v>7. Preço final deve considerar: custo + margem + posicionamento de mercado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0.83203125" customWidth="1"/>
  </cols>
  <sheetData>
    <row r="1">
      <c r="A1" t="str">
        <v>ANÁLISE DE RENTABILIDADE</v>
      </c>
    </row>
    <row r="2">
      <c r="A2" t="str">
        <v/>
      </c>
    </row>
    <row r="3">
      <c r="A3" t="str">
        <v>═══════════════════════════════════════════════</v>
      </c>
    </row>
    <row r="4">
      <c r="A4" t="str">
        <v>RESUMO MENSAL</v>
      </c>
    </row>
    <row r="5">
      <c r="A5" t="str">
        <v>═══════════════════════════════════════════════</v>
      </c>
    </row>
    <row r="6">
      <c r="A6" t="str">
        <v>Métrica</v>
      </c>
      <c r="B6" t="str">
        <v>Valor</v>
      </c>
      <c r="C6" t="str">
        <v>Meta</v>
      </c>
      <c r="D6" t="str">
        <v>Status</v>
      </c>
    </row>
    <row r="7">
      <c r="A7" t="str">
        <v>Atendimentos/mês</v>
      </c>
      <c r="B7">
        <f>Custos!B35</f>
      </c>
      <c r="C7">
        <v>200</v>
      </c>
      <c r="D7" t="str">
        <v/>
      </c>
    </row>
    <row r="8">
      <c r="A8" t="str">
        <v>Ticket médio (R$)</v>
      </c>
      <c r="B8">
        <v>55</v>
      </c>
      <c r="C8">
        <v>50</v>
      </c>
      <c r="D8" t="str">
        <v>OK</v>
      </c>
    </row>
    <row r="9">
      <c r="A9" t="str">
        <v>Faturamento mensal (R$)</v>
      </c>
      <c r="B9">
        <f>B7*B8</f>
      </c>
      <c r="C9">
        <v>10000</v>
      </c>
      <c r="D9" t="str">
        <v/>
      </c>
    </row>
    <row r="10">
      <c r="A10" t="str">
        <v>Custos fixos (R$)</v>
      </c>
      <c r="B10">
        <f>Custos!B25</f>
      </c>
      <c r="C10">
        <v>4000</v>
      </c>
      <c r="D10" t="str">
        <v/>
      </c>
    </row>
    <row r="11">
      <c r="A11" t="str">
        <v>Custos variáveis (R$)</v>
      </c>
      <c r="B11">
        <f>Custos!B41*Custos!B35</f>
      </c>
      <c r="C11">
        <v>1000</v>
      </c>
      <c r="D11" t="str">
        <v/>
      </c>
    </row>
    <row r="12">
      <c r="A12" t="str">
        <v/>
      </c>
    </row>
    <row r="13">
      <c r="A13" t="str">
        <v>LUCRO LÍQUIDO (R$)</v>
      </c>
      <c r="B13">
        <f>B9-B10-B11</f>
      </c>
      <c r="C13">
        <v>5000</v>
      </c>
      <c r="D13" t="str">
        <v/>
      </c>
    </row>
    <row r="14">
      <c r="A14" t="str">
        <v>MARGEM DE LUCRO %</v>
      </c>
      <c r="B14">
        <f>B13/B9*100</f>
      </c>
      <c r="C14" t="str">
        <v>30%+</v>
      </c>
      <c r="D14" t="str">
        <v/>
      </c>
    </row>
    <row r="15">
      <c r="A15" t="str">
        <v/>
      </c>
    </row>
    <row r="16">
      <c r="A16" t="str">
        <v>═══════════════════════════════════════════════</v>
      </c>
    </row>
    <row r="17">
      <c r="A17" t="str">
        <v>INDICADORES DE SAÚDE FINANCEIRA</v>
      </c>
    </row>
    <row r="18">
      <c r="A18" t="str">
        <v>═══════════════════════════════════════════════</v>
      </c>
    </row>
    <row r="19">
      <c r="A19" t="str">
        <v>• Margem de lucro abaixo de 20%: CRÍTICO - revise custos e preços</v>
      </c>
    </row>
    <row r="20">
      <c r="A20" t="str">
        <v>• Margem entre 20-30%: ATENÇÃO - há espaço para melhorar</v>
      </c>
    </row>
    <row r="21">
      <c r="A21" t="str">
        <v>• Margem acima de 30%: SAUDÁVEL - bom equilíbrio</v>
      </c>
    </row>
    <row r="22">
      <c r="A22" t="str">
        <v>• Margem acima de 40%: EXCELENTE - negócio bem estruturado</v>
      </c>
    </row>
    <row r="23">
      <c r="A23" t="str">
        <v/>
      </c>
    </row>
    <row r="24">
      <c r="A24" t="str">
        <v>═══════════════════════════════════════════════</v>
      </c>
    </row>
    <row r="25">
      <c r="A25" t="str">
        <v>PRÓXIMOS PASSOS</v>
      </c>
    </row>
    <row r="26">
      <c r="A26" t="str">
        <v>═══════════════════════════════════════════════</v>
      </c>
    </row>
    <row r="27">
      <c r="A27" t="str">
        <v>1. Preencha seus custos reais na aba "Custos"</v>
      </c>
    </row>
    <row r="28">
      <c r="A28" t="str">
        <v>2. Ajuste os preços na aba "Precificação"</v>
      </c>
    </row>
    <row r="29">
      <c r="A29" t="str">
        <v>3. Compare com a concorrência</v>
      </c>
    </row>
    <row r="30">
      <c r="A30" t="str">
        <v>4. Defina seus preços finais</v>
      </c>
    </row>
    <row r="31">
      <c r="A31" t="str">
        <v>5. Revise mensalmente este documento</v>
      </c>
    </row>
    <row r="32">
      <c r="A32" t="str">
        <v/>
      </c>
    </row>
    <row r="33">
      <c r="A33" t="str">
        <v>Desenvolvido por Flowo - Sistema de agendamento para barbearias</v>
      </c>
    </row>
    <row r="34">
      <c r="A34" t="str">
        <v>Automatize sua gestão em: flowo.com.br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Custos</vt:lpstr>
      <vt:lpstr>Precificação</vt:lpstr>
      <vt:lpstr>Análise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